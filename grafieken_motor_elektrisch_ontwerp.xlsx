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lame\Documents\engineering_project_pickandplace\"/>
    </mc:Choice>
  </mc:AlternateContent>
  <xr:revisionPtr revIDLastSave="0" documentId="8_{13D3B049-84D9-47D3-AF12-34DCCC52B5A1}" xr6:coauthVersionLast="47" xr6:coauthVersionMax="47" xr10:uidLastSave="{00000000-0000-0000-0000-000000000000}"/>
  <bookViews>
    <workbookView xWindow="-110" yWindow="-110" windowWidth="19420" windowHeight="11500" xr2:uid="{DDD8EAAB-096A-46DA-B558-1E10BD2C2E13}"/>
  </bookViews>
  <sheets>
    <sheet name="Blad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1" l="1"/>
  <c r="C24" i="1"/>
  <c r="C25" i="1"/>
  <c r="C26" i="1"/>
  <c r="C27" i="1"/>
  <c r="C22" i="1"/>
  <c r="C4" i="1"/>
  <c r="C5" i="1"/>
  <c r="C6" i="1"/>
  <c r="C7" i="1"/>
  <c r="C8" i="1"/>
  <c r="C9" i="1"/>
  <c r="C10" i="1"/>
  <c r="C11" i="1"/>
  <c r="C12" i="1"/>
  <c r="C3" i="1"/>
</calcChain>
</file>

<file path=xl/sharedStrings.xml><?xml version="1.0" encoding="utf-8"?>
<sst xmlns="http://schemas.openxmlformats.org/spreadsheetml/2006/main" count="14" uniqueCount="14">
  <si>
    <r>
      <t>onderzoek E = K</t>
    </r>
    <r>
      <rPr>
        <vertAlign val="subscript"/>
        <sz val="11"/>
        <color theme="1"/>
        <rFont val="Aptos Narrow"/>
        <family val="2"/>
        <scheme val="minor"/>
      </rPr>
      <t>g</t>
    </r>
    <r>
      <rPr>
        <sz val="11"/>
        <color theme="1"/>
        <rFont val="Aptos Narrow"/>
        <family val="2"/>
        <scheme val="minor"/>
      </rPr>
      <t xml:space="preserve"> * </t>
    </r>
    <r>
      <rPr>
        <sz val="11"/>
        <color theme="1"/>
        <rFont val="Aptos Narrow"/>
        <family val="2"/>
      </rPr>
      <t>ω</t>
    </r>
  </si>
  <si>
    <t>v</t>
  </si>
  <si>
    <t>rpm</t>
  </si>
  <si>
    <t>rad/s</t>
  </si>
  <si>
    <t>lineair verband</t>
  </si>
  <si>
    <t>offset door ohmse weerstand in de motor</t>
  </si>
  <si>
    <r>
      <t>onderzoek M = K</t>
    </r>
    <r>
      <rPr>
        <vertAlign val="subscript"/>
        <sz val="11"/>
        <color theme="1"/>
        <rFont val="Aptos Narrow"/>
        <family val="2"/>
        <scheme val="minor"/>
      </rPr>
      <t>m</t>
    </r>
    <r>
      <rPr>
        <sz val="11"/>
        <color theme="1"/>
        <rFont val="Aptos Narrow"/>
        <family val="2"/>
        <scheme val="minor"/>
      </rPr>
      <t xml:space="preserve"> * I</t>
    </r>
    <r>
      <rPr>
        <vertAlign val="subscript"/>
        <sz val="11"/>
        <color theme="1"/>
        <rFont val="Aptos Narrow"/>
        <family val="2"/>
        <scheme val="minor"/>
      </rPr>
      <t>a</t>
    </r>
  </si>
  <si>
    <t>m (kg)</t>
  </si>
  <si>
    <t>I (A)</t>
  </si>
  <si>
    <t>M (Nm)</t>
  </si>
  <si>
    <t>krachtarm = 2cm</t>
  </si>
  <si>
    <t>24V</t>
  </si>
  <si>
    <t>voorspelde negatieve koppel: we meten aan de uitgaande as vna de motor, maar de formule gaat over het motorkoppel (dus zonder reductiekast), dus het negatieve koppel is het te overwinnen koppel door de reductiekast</t>
  </si>
  <si>
    <t>reductiekast is ook reden dat de K constanten verschillen per onderzoek, moesten beide onderzoeken gedaan zijn zonder reductiekast, zou het ongeveer dezelfde waarde moeten geven.  Het tweede onderzoek zonder reductiekast en zonder wormwiel zou ongeveer dezelfde constante moeten opleveren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</si>
</sst>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Aptos Narrow"/>
      <family val="2"/>
      <scheme val="minor"/>
    </font>
    <font>
      <vertAlign val="subscript"/>
      <sz val="11"/>
      <color theme="1"/>
      <name val="Aptos Narrow"/>
      <family val="2"/>
      <scheme val="minor"/>
    </font>
    <font>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2" fontId="0" fillId="0" borderId="0" xfId="0" applyNumberFormat="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nl-BE" sz="1400" b="0" i="0" u="none" strike="noStrike" kern="1200" spc="0" baseline="0">
                <a:solidFill>
                  <a:sysClr val="windowText" lastClr="000000">
                    <a:lumMod val="65000"/>
                    <a:lumOff val="35000"/>
                  </a:sysClr>
                </a:solidFill>
              </a:rPr>
              <a:t>Ankerspanning U</a:t>
            </a:r>
            <a:r>
              <a:rPr lang="nl-BE" sz="1400" b="0" i="0" u="none" strike="noStrike" kern="1200" spc="0" baseline="-25000">
                <a:solidFill>
                  <a:sysClr val="windowText" lastClr="000000">
                    <a:lumMod val="65000"/>
                    <a:lumOff val="35000"/>
                  </a:sysClr>
                </a:solidFill>
              </a:rPr>
              <a:t>a</a:t>
            </a:r>
            <a:r>
              <a:rPr lang="nl-BE" sz="1400" b="0" i="0" u="none" strike="noStrike" kern="1200" spc="0" baseline="0">
                <a:solidFill>
                  <a:sysClr val="windowText" lastClr="000000">
                    <a:lumMod val="65000"/>
                    <a:lumOff val="35000"/>
                  </a:sysClr>
                </a:solidFill>
              </a:rPr>
              <a:t> ifv hoeksnelheid </a:t>
            </a:r>
            <a:r>
              <a:rPr lang="el-GR" sz="1400" b="0" i="0" u="none" strike="noStrike" kern="1200" spc="0" baseline="0">
                <a:solidFill>
                  <a:sysClr val="windowText" lastClr="000000">
                    <a:lumMod val="65000"/>
                    <a:lumOff val="35000"/>
                  </a:sysClr>
                </a:solidFill>
                <a:latin typeface="Aptos Narrow" panose="020B0004020202020204" pitchFamily="34" charset="0"/>
              </a:rPr>
              <a:t>ω</a:t>
            </a:r>
            <a:endParaRPr lang="nl-BE"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nl-BE"/>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backward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trendlineLbl>
          </c:trendline>
          <c:xVal>
            <c:numRef>
              <c:f>Blad1!$A$3:$A$12</c:f>
              <c:numCache>
                <c:formatCode>General</c:formatCode>
                <c:ptCount val="10"/>
                <c:pt idx="0">
                  <c:v>2</c:v>
                </c:pt>
                <c:pt idx="1">
                  <c:v>4</c:v>
                </c:pt>
                <c:pt idx="2">
                  <c:v>6</c:v>
                </c:pt>
                <c:pt idx="3">
                  <c:v>8</c:v>
                </c:pt>
                <c:pt idx="4">
                  <c:v>10</c:v>
                </c:pt>
                <c:pt idx="5">
                  <c:v>12</c:v>
                </c:pt>
                <c:pt idx="6">
                  <c:v>14</c:v>
                </c:pt>
                <c:pt idx="7">
                  <c:v>16</c:v>
                </c:pt>
                <c:pt idx="8">
                  <c:v>18</c:v>
                </c:pt>
                <c:pt idx="9">
                  <c:v>24</c:v>
                </c:pt>
              </c:numCache>
            </c:numRef>
          </c:xVal>
          <c:yVal>
            <c:numRef>
              <c:f>Blad1!$C$3:$C$12</c:f>
              <c:numCache>
                <c:formatCode>0.00</c:formatCode>
                <c:ptCount val="10"/>
                <c:pt idx="0">
                  <c:v>46.076692252650304</c:v>
                </c:pt>
                <c:pt idx="1">
                  <c:v>97.389372261283583</c:v>
                </c:pt>
                <c:pt idx="2">
                  <c:v>149.22565104551515</c:v>
                </c:pt>
                <c:pt idx="3">
                  <c:v>201.89968787070404</c:v>
                </c:pt>
                <c:pt idx="4">
                  <c:v>255.51620249196986</c:v>
                </c:pt>
                <c:pt idx="5">
                  <c:v>309.4468763785946</c:v>
                </c:pt>
                <c:pt idx="6">
                  <c:v>361.80675393842449</c:v>
                </c:pt>
                <c:pt idx="7">
                  <c:v>411.54863762026287</c:v>
                </c:pt>
                <c:pt idx="8">
                  <c:v>464.53683371081075</c:v>
                </c:pt>
                <c:pt idx="9">
                  <c:v>620.98814785958234</c:v>
                </c:pt>
              </c:numCache>
            </c:numRef>
          </c:yVal>
          <c:smooth val="0"/>
          <c:extLst>
            <c:ext xmlns:c16="http://schemas.microsoft.com/office/drawing/2014/chart" uri="{C3380CC4-5D6E-409C-BE32-E72D297353CC}">
              <c16:uniqueId val="{00000000-7BF6-4149-8171-594283AA385E}"/>
            </c:ext>
          </c:extLst>
        </c:ser>
        <c:dLbls>
          <c:showLegendKey val="0"/>
          <c:showVal val="0"/>
          <c:showCatName val="0"/>
          <c:showSerName val="0"/>
          <c:showPercent val="0"/>
          <c:showBubbleSize val="0"/>
        </c:dLbls>
        <c:axId val="459777167"/>
        <c:axId val="459772847"/>
      </c:scatterChart>
      <c:valAx>
        <c:axId val="4597771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b="0" i="0" u="none" strike="noStrike" kern="1200" baseline="0">
                    <a:solidFill>
                      <a:sysClr val="windowText" lastClr="000000">
                        <a:lumMod val="65000"/>
                        <a:lumOff val="35000"/>
                      </a:sysClr>
                    </a:solidFill>
                  </a:rPr>
                  <a:t>U</a:t>
                </a:r>
                <a:r>
                  <a:rPr lang="nl-BE" sz="1000" b="0" i="0" u="none" strike="noStrike" kern="1200" baseline="-25000">
                    <a:solidFill>
                      <a:sysClr val="windowText" lastClr="000000">
                        <a:lumMod val="65000"/>
                        <a:lumOff val="35000"/>
                      </a:sysClr>
                    </a:solidFill>
                  </a:rPr>
                  <a:t>a</a:t>
                </a:r>
                <a:r>
                  <a:rPr lang="nl-BE" sz="1000" b="0" i="0" u="none" strike="noStrike" kern="1200" baseline="0">
                    <a:solidFill>
                      <a:sysClr val="windowText" lastClr="000000">
                        <a:lumMod val="65000"/>
                        <a:lumOff val="35000"/>
                      </a:sysClr>
                    </a:solidFill>
                  </a:rPr>
                  <a:t>(V)</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459772847"/>
        <c:crosses val="autoZero"/>
        <c:crossBetween val="midCat"/>
      </c:valAx>
      <c:valAx>
        <c:axId val="459772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l-GR" sz="1000" b="0" i="0" u="none" strike="noStrike" kern="1200" baseline="0">
                    <a:solidFill>
                      <a:sysClr val="windowText" lastClr="000000">
                        <a:lumMod val="65000"/>
                        <a:lumOff val="35000"/>
                      </a:sysClr>
                    </a:solidFill>
                    <a:latin typeface="Aptos Narrow" panose="020B0004020202020204" pitchFamily="34" charset="0"/>
                  </a:rPr>
                  <a:t>ω</a:t>
                </a:r>
                <a:r>
                  <a:rPr lang="nl-BE" sz="1000" b="0" i="0" u="none" strike="noStrike" kern="1200" baseline="0">
                    <a:solidFill>
                      <a:sysClr val="windowText" lastClr="000000">
                        <a:lumMod val="65000"/>
                        <a:lumOff val="35000"/>
                      </a:sysClr>
                    </a:solidFill>
                    <a:latin typeface="Aptos Narrow" panose="020B0004020202020204" pitchFamily="34" charset="0"/>
                  </a:rPr>
                  <a:t> </a:t>
                </a:r>
                <a:r>
                  <a:rPr lang="nl-BE" sz="1000" b="0" i="0" u="none" strike="noStrike" kern="1200" baseline="0">
                    <a:solidFill>
                      <a:sysClr val="windowText" lastClr="000000">
                        <a:lumMod val="65000"/>
                        <a:lumOff val="35000"/>
                      </a:sysClr>
                    </a:solidFill>
                  </a:rPr>
                  <a:t>(rad/s)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4597771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Ankerspanning</a:t>
            </a:r>
            <a:r>
              <a:rPr lang="nl-BE" baseline="0"/>
              <a:t> U</a:t>
            </a:r>
            <a:r>
              <a:rPr lang="nl-BE" baseline="-25000"/>
              <a:t>a</a:t>
            </a:r>
            <a:r>
              <a:rPr lang="nl-BE" baseline="0"/>
              <a:t> ifv hoeksnelheid </a:t>
            </a:r>
            <a:r>
              <a:rPr lang="el-GR" sz="1100" b="0" i="0" u="none" strike="noStrike" kern="1200" spc="0" baseline="0">
                <a:solidFill>
                  <a:sysClr val="windowText" lastClr="000000">
                    <a:lumMod val="65000"/>
                    <a:lumOff val="35000"/>
                  </a:sysClr>
                </a:solidFill>
                <a:latin typeface="Aptos Narrow" panose="020B0004020202020204" pitchFamily="34" charset="0"/>
              </a:rPr>
              <a:t>ω</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BE"/>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backward val="46.07"/>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trendlineLbl>
          </c:trendline>
          <c:xVal>
            <c:numRef>
              <c:f>Blad1!$C$3:$C$12</c:f>
              <c:numCache>
                <c:formatCode>0.00</c:formatCode>
                <c:ptCount val="10"/>
                <c:pt idx="0">
                  <c:v>46.076692252650304</c:v>
                </c:pt>
                <c:pt idx="1">
                  <c:v>97.389372261283583</c:v>
                </c:pt>
                <c:pt idx="2">
                  <c:v>149.22565104551515</c:v>
                </c:pt>
                <c:pt idx="3">
                  <c:v>201.89968787070404</c:v>
                </c:pt>
                <c:pt idx="4">
                  <c:v>255.51620249196986</c:v>
                </c:pt>
                <c:pt idx="5">
                  <c:v>309.4468763785946</c:v>
                </c:pt>
                <c:pt idx="6">
                  <c:v>361.80675393842449</c:v>
                </c:pt>
                <c:pt idx="7">
                  <c:v>411.54863762026287</c:v>
                </c:pt>
                <c:pt idx="8">
                  <c:v>464.53683371081075</c:v>
                </c:pt>
                <c:pt idx="9">
                  <c:v>620.98814785958234</c:v>
                </c:pt>
              </c:numCache>
            </c:numRef>
          </c:xVal>
          <c:yVal>
            <c:numRef>
              <c:f>Blad1!$A$3:$A$12</c:f>
              <c:numCache>
                <c:formatCode>General</c:formatCode>
                <c:ptCount val="10"/>
                <c:pt idx="0">
                  <c:v>2</c:v>
                </c:pt>
                <c:pt idx="1">
                  <c:v>4</c:v>
                </c:pt>
                <c:pt idx="2">
                  <c:v>6</c:v>
                </c:pt>
                <c:pt idx="3">
                  <c:v>8</c:v>
                </c:pt>
                <c:pt idx="4">
                  <c:v>10</c:v>
                </c:pt>
                <c:pt idx="5">
                  <c:v>12</c:v>
                </c:pt>
                <c:pt idx="6">
                  <c:v>14</c:v>
                </c:pt>
                <c:pt idx="7">
                  <c:v>16</c:v>
                </c:pt>
                <c:pt idx="8">
                  <c:v>18</c:v>
                </c:pt>
                <c:pt idx="9">
                  <c:v>24</c:v>
                </c:pt>
              </c:numCache>
            </c:numRef>
          </c:yVal>
          <c:smooth val="0"/>
          <c:extLst>
            <c:ext xmlns:c16="http://schemas.microsoft.com/office/drawing/2014/chart" uri="{C3380CC4-5D6E-409C-BE32-E72D297353CC}">
              <c16:uniqueId val="{00000000-7BF6-4149-8171-594283AA385E}"/>
            </c:ext>
          </c:extLst>
        </c:ser>
        <c:dLbls>
          <c:showLegendKey val="0"/>
          <c:showVal val="0"/>
          <c:showCatName val="0"/>
          <c:showSerName val="0"/>
          <c:showPercent val="0"/>
          <c:showBubbleSize val="0"/>
        </c:dLbls>
        <c:axId val="459777167"/>
        <c:axId val="459772847"/>
      </c:scatterChart>
      <c:valAx>
        <c:axId val="4597771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l-GR">
                    <a:latin typeface="Aptos Narrow" panose="020B0004020202020204" pitchFamily="34" charset="0"/>
                  </a:rPr>
                  <a:t>ω</a:t>
                </a:r>
                <a:r>
                  <a:rPr lang="nl-BE">
                    <a:latin typeface="Aptos Narrow" panose="020B0004020202020204" pitchFamily="34" charset="0"/>
                  </a:rPr>
                  <a:t> </a:t>
                </a:r>
                <a:r>
                  <a:rPr lang="nl-BE"/>
                  <a:t>(rad/s)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459772847"/>
        <c:crosses val="autoZero"/>
        <c:crossBetween val="midCat"/>
      </c:valAx>
      <c:valAx>
        <c:axId val="459772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U</a:t>
                </a:r>
                <a:r>
                  <a:rPr lang="nl-BE" baseline="-25000"/>
                  <a:t>a</a:t>
                </a:r>
                <a:r>
                  <a:rPr lang="nl-BE" baseline="0"/>
                  <a:t>(V)</a:t>
                </a:r>
                <a:endParaRPr lang="nl-B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4597771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nl-BE" sz="1400" b="0" i="0" u="none" strike="noStrike" kern="1200" baseline="0">
                <a:solidFill>
                  <a:sysClr val="windowText" lastClr="000000">
                    <a:lumMod val="65000"/>
                    <a:lumOff val="35000"/>
                  </a:sysClr>
                </a:solidFill>
              </a:rPr>
              <a:t>Koppel M</a:t>
            </a:r>
            <a:r>
              <a:rPr lang="nl-BE" sz="1400" b="0" i="0" u="none" strike="noStrike" kern="1200" baseline="-25000">
                <a:solidFill>
                  <a:sysClr val="windowText" lastClr="000000">
                    <a:lumMod val="65000"/>
                    <a:lumOff val="35000"/>
                  </a:sysClr>
                </a:solidFill>
              </a:rPr>
              <a:t>reductor </a:t>
            </a:r>
            <a:r>
              <a:rPr lang="nl-BE" sz="1400" b="0" i="0" u="none" strike="noStrike" kern="1200" spc="0" baseline="0">
                <a:solidFill>
                  <a:sysClr val="windowText" lastClr="000000">
                    <a:lumMod val="65000"/>
                    <a:lumOff val="35000"/>
                  </a:sysClr>
                </a:solidFill>
              </a:rPr>
              <a:t>ifv ankerstroom I</a:t>
            </a:r>
            <a:r>
              <a:rPr lang="nl-BE" sz="1400" b="0" i="0" u="none" strike="noStrike" kern="1200" spc="0" baseline="-25000">
                <a:solidFill>
                  <a:sysClr val="windowText" lastClr="000000">
                    <a:lumMod val="65000"/>
                    <a:lumOff val="35000"/>
                  </a:sysClr>
                </a:solidFill>
              </a:rPr>
              <a:t>a</a:t>
            </a:r>
            <a:r>
              <a:rPr lang="nl-BE" sz="1400" b="0" i="0" u="none" strike="noStrike" kern="1200" spc="0" baseline="0">
                <a:solidFill>
                  <a:sysClr val="windowText" lastClr="000000">
                    <a:lumMod val="65000"/>
                    <a:lumOff val="35000"/>
                  </a:sysClr>
                </a:solidFill>
              </a:rPr>
              <a:t> </a:t>
            </a:r>
            <a:endParaRPr lang="nl-BE" sz="1400" b="0" i="0" u="none" strike="noStrike" kern="120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nl-BE"/>
        </a:p>
      </c:txPr>
    </c:title>
    <c:autoTitleDeleted val="0"/>
    <c:plotArea>
      <c:layout/>
      <c:scatterChart>
        <c:scatterStyle val="lineMarker"/>
        <c:varyColors val="0"/>
        <c:ser>
          <c:idx val="0"/>
          <c:order val="0"/>
          <c:tx>
            <c:strRef>
              <c:f>Blad1!$C$21</c:f>
              <c:strCache>
                <c:ptCount val="1"/>
                <c:pt idx="0">
                  <c:v>M (Nm)</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backward val="2.9000000000000005E-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trendlineLbl>
          </c:trendline>
          <c:xVal>
            <c:numRef>
              <c:f>Blad1!$B$22:$B$27</c:f>
              <c:numCache>
                <c:formatCode>General</c:formatCode>
                <c:ptCount val="6"/>
                <c:pt idx="0">
                  <c:v>0.03</c:v>
                </c:pt>
                <c:pt idx="1">
                  <c:v>5.5E-2</c:v>
                </c:pt>
                <c:pt idx="2">
                  <c:v>8.5000000000000006E-2</c:v>
                </c:pt>
                <c:pt idx="3">
                  <c:v>0.13800000000000001</c:v>
                </c:pt>
                <c:pt idx="4">
                  <c:v>0.19500000000000001</c:v>
                </c:pt>
                <c:pt idx="5">
                  <c:v>0.23</c:v>
                </c:pt>
              </c:numCache>
            </c:numRef>
          </c:xVal>
          <c:yVal>
            <c:numRef>
              <c:f>Blad1!$C$22:$C$27</c:f>
              <c:numCache>
                <c:formatCode>0.000</c:formatCode>
                <c:ptCount val="6"/>
                <c:pt idx="0">
                  <c:v>0</c:v>
                </c:pt>
                <c:pt idx="1">
                  <c:v>9.8100000000000007E-2</c:v>
                </c:pt>
                <c:pt idx="2">
                  <c:v>0.19620000000000001</c:v>
                </c:pt>
                <c:pt idx="3">
                  <c:v>0.39240000000000003</c:v>
                </c:pt>
                <c:pt idx="4">
                  <c:v>0.58860000000000001</c:v>
                </c:pt>
                <c:pt idx="5">
                  <c:v>0.68669999999999998</c:v>
                </c:pt>
              </c:numCache>
            </c:numRef>
          </c:yVal>
          <c:smooth val="0"/>
          <c:extLst>
            <c:ext xmlns:c16="http://schemas.microsoft.com/office/drawing/2014/chart" uri="{C3380CC4-5D6E-409C-BE32-E72D297353CC}">
              <c16:uniqueId val="{00000000-CCCF-4635-B53B-70F15DF4983C}"/>
            </c:ext>
          </c:extLst>
        </c:ser>
        <c:dLbls>
          <c:showLegendKey val="0"/>
          <c:showVal val="0"/>
          <c:showCatName val="0"/>
          <c:showSerName val="0"/>
          <c:showPercent val="0"/>
          <c:showBubbleSize val="0"/>
        </c:dLbls>
        <c:axId val="1069461103"/>
        <c:axId val="1069461583"/>
      </c:scatterChart>
      <c:valAx>
        <c:axId val="10694611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nl-BE" sz="1000" b="0" i="0" u="none" strike="noStrike" kern="1200" baseline="0">
                    <a:solidFill>
                      <a:sysClr val="windowText" lastClr="000000">
                        <a:lumMod val="65000"/>
                        <a:lumOff val="35000"/>
                      </a:sysClr>
                    </a:solidFill>
                  </a:rPr>
                  <a:t>I</a:t>
                </a:r>
                <a:r>
                  <a:rPr lang="nl-BE" sz="1000" b="0" i="0" u="none" strike="noStrike" kern="1200" baseline="-25000">
                    <a:solidFill>
                      <a:sysClr val="windowText" lastClr="000000">
                        <a:lumMod val="65000"/>
                        <a:lumOff val="35000"/>
                      </a:sysClr>
                    </a:solidFill>
                  </a:rPr>
                  <a:t>a</a:t>
                </a:r>
                <a:r>
                  <a:rPr lang="nl-BE"/>
                  <a:t>(A)</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nl-B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069461583"/>
        <c:crosses val="autoZero"/>
        <c:crossBetween val="midCat"/>
      </c:valAx>
      <c:valAx>
        <c:axId val="1069461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a:t>
                </a:r>
                <a:r>
                  <a:rPr lang="nl-BE" baseline="-25000"/>
                  <a:t>reductor</a:t>
                </a:r>
                <a:r>
                  <a:rPr lang="nl-BE" baseline="0"/>
                  <a:t>(Nm)</a:t>
                </a:r>
                <a:endParaRPr lang="nl-B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0694611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523091</xdr:colOff>
      <xdr:row>0</xdr:row>
      <xdr:rowOff>110266</xdr:rowOff>
    </xdr:from>
    <xdr:to>
      <xdr:col>13</xdr:col>
      <xdr:colOff>49529</xdr:colOff>
      <xdr:row>17</xdr:row>
      <xdr:rowOff>96819</xdr:rowOff>
    </xdr:to>
    <xdr:graphicFrame macro="">
      <xdr:nvGraphicFramePr>
        <xdr:cNvPr id="2" name="Grafiek 1">
          <a:extLst>
            <a:ext uri="{FF2B5EF4-FFF2-40B4-BE49-F238E27FC236}">
              <a16:creationId xmlns:a16="http://schemas.microsoft.com/office/drawing/2014/main" id="{5140BDBA-309F-E9F4-FBF3-EB1091CEA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310627</xdr:colOff>
      <xdr:row>0</xdr:row>
      <xdr:rowOff>117437</xdr:rowOff>
    </xdr:from>
    <xdr:to>
      <xdr:col>21</xdr:col>
      <xdr:colOff>448907</xdr:colOff>
      <xdr:row>17</xdr:row>
      <xdr:rowOff>96482</xdr:rowOff>
    </xdr:to>
    <xdr:graphicFrame macro="">
      <xdr:nvGraphicFramePr>
        <xdr:cNvPr id="3" name="Grafiek 2">
          <a:extLst>
            <a:ext uri="{FF2B5EF4-FFF2-40B4-BE49-F238E27FC236}">
              <a16:creationId xmlns:a16="http://schemas.microsoft.com/office/drawing/2014/main" id="{F69A2125-B041-09A2-27D3-06411F6040B5}"/>
            </a:ext>
            <a:ext uri="{147F2762-F138-4A5C-976F-8EAC2B608ADB}">
              <a16:predDERef xmlns:a16="http://schemas.microsoft.com/office/drawing/2014/main" pred="{5140BDBA-309F-E9F4-FBF3-EB1091CEA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526677</xdr:colOff>
      <xdr:row>18</xdr:row>
      <xdr:rowOff>173692</xdr:rowOff>
    </xdr:from>
    <xdr:to>
      <xdr:col>12</xdr:col>
      <xdr:colOff>162487</xdr:colOff>
      <xdr:row>35</xdr:row>
      <xdr:rowOff>38102</xdr:rowOff>
    </xdr:to>
    <xdr:graphicFrame macro="">
      <xdr:nvGraphicFramePr>
        <xdr:cNvPr id="5" name="Grafiek 4">
          <a:extLst>
            <a:ext uri="{FF2B5EF4-FFF2-40B4-BE49-F238E27FC236}">
              <a16:creationId xmlns:a16="http://schemas.microsoft.com/office/drawing/2014/main" id="{31FB4EEC-D170-73F9-AE6D-DACFE4EFD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64416-8DA4-450E-8597-2A5088199029}">
  <dimension ref="A1:C38"/>
  <sheetViews>
    <sheetView tabSelected="1" zoomScale="136" workbookViewId="0">
      <selection activeCell="A39" sqref="A39"/>
    </sheetView>
  </sheetViews>
  <sheetFormatPr defaultRowHeight="14.5" x14ac:dyDescent="0.35"/>
  <sheetData>
    <row r="1" spans="1:3" ht="16.5" x14ac:dyDescent="0.45">
      <c r="A1" s="3" t="s">
        <v>0</v>
      </c>
      <c r="B1" s="3"/>
      <c r="C1" s="3"/>
    </row>
    <row r="2" spans="1:3" x14ac:dyDescent="0.35">
      <c r="A2" t="s">
        <v>1</v>
      </c>
      <c r="B2" t="s">
        <v>2</v>
      </c>
      <c r="C2" t="s">
        <v>3</v>
      </c>
    </row>
    <row r="3" spans="1:3" x14ac:dyDescent="0.35">
      <c r="A3">
        <v>2</v>
      </c>
      <c r="B3">
        <v>440</v>
      </c>
      <c r="C3" s="2">
        <f>B3*(2*PI())/60</f>
        <v>46.076692252650304</v>
      </c>
    </row>
    <row r="4" spans="1:3" x14ac:dyDescent="0.35">
      <c r="A4">
        <v>4</v>
      </c>
      <c r="B4">
        <v>930</v>
      </c>
      <c r="C4" s="2">
        <f t="shared" ref="C4:C12" si="0">B4*(2*PI())/60</f>
        <v>97.389372261283583</v>
      </c>
    </row>
    <row r="5" spans="1:3" x14ac:dyDescent="0.35">
      <c r="A5">
        <v>6</v>
      </c>
      <c r="B5">
        <v>1425</v>
      </c>
      <c r="C5" s="2">
        <f t="shared" si="0"/>
        <v>149.22565104551515</v>
      </c>
    </row>
    <row r="6" spans="1:3" x14ac:dyDescent="0.35">
      <c r="A6">
        <v>8</v>
      </c>
      <c r="B6">
        <v>1928</v>
      </c>
      <c r="C6" s="2">
        <f t="shared" si="0"/>
        <v>201.89968787070404</v>
      </c>
    </row>
    <row r="7" spans="1:3" x14ac:dyDescent="0.35">
      <c r="A7">
        <v>10</v>
      </c>
      <c r="B7">
        <v>2440</v>
      </c>
      <c r="C7" s="2">
        <f t="shared" si="0"/>
        <v>255.51620249196986</v>
      </c>
    </row>
    <row r="8" spans="1:3" x14ac:dyDescent="0.35">
      <c r="A8">
        <v>12</v>
      </c>
      <c r="B8">
        <v>2955</v>
      </c>
      <c r="C8" s="2">
        <f t="shared" si="0"/>
        <v>309.4468763785946</v>
      </c>
    </row>
    <row r="9" spans="1:3" x14ac:dyDescent="0.35">
      <c r="A9">
        <v>14</v>
      </c>
      <c r="B9">
        <v>3455</v>
      </c>
      <c r="C9" s="2">
        <f t="shared" si="0"/>
        <v>361.80675393842449</v>
      </c>
    </row>
    <row r="10" spans="1:3" x14ac:dyDescent="0.35">
      <c r="A10">
        <v>16</v>
      </c>
      <c r="B10">
        <v>3930</v>
      </c>
      <c r="C10" s="2">
        <f t="shared" si="0"/>
        <v>411.54863762026287</v>
      </c>
    </row>
    <row r="11" spans="1:3" x14ac:dyDescent="0.35">
      <c r="A11">
        <v>18</v>
      </c>
      <c r="B11">
        <v>4436</v>
      </c>
      <c r="C11" s="2">
        <f t="shared" si="0"/>
        <v>464.53683371081075</v>
      </c>
    </row>
    <row r="12" spans="1:3" x14ac:dyDescent="0.35">
      <c r="A12">
        <v>24</v>
      </c>
      <c r="B12">
        <v>5930</v>
      </c>
      <c r="C12" s="2">
        <f t="shared" si="0"/>
        <v>620.98814785958234</v>
      </c>
    </row>
    <row r="14" spans="1:3" x14ac:dyDescent="0.35">
      <c r="A14" t="s">
        <v>4</v>
      </c>
    </row>
    <row r="15" spans="1:3" x14ac:dyDescent="0.35">
      <c r="A15" t="s">
        <v>5</v>
      </c>
    </row>
    <row r="20" spans="1:3" ht="16.5" x14ac:dyDescent="0.45">
      <c r="A20" s="3" t="s">
        <v>6</v>
      </c>
      <c r="B20" s="3"/>
      <c r="C20" s="3"/>
    </row>
    <row r="21" spans="1:3" x14ac:dyDescent="0.35">
      <c r="A21" t="s">
        <v>7</v>
      </c>
      <c r="B21" t="s">
        <v>8</v>
      </c>
      <c r="C21" t="s">
        <v>9</v>
      </c>
    </row>
    <row r="22" spans="1:3" x14ac:dyDescent="0.35">
      <c r="A22">
        <v>0</v>
      </c>
      <c r="B22">
        <v>0.03</v>
      </c>
      <c r="C22" s="1">
        <f>(A22*9.81*0.02)</f>
        <v>0</v>
      </c>
    </row>
    <row r="23" spans="1:3" x14ac:dyDescent="0.35">
      <c r="A23">
        <v>0.5</v>
      </c>
      <c r="B23">
        <v>5.5E-2</v>
      </c>
      <c r="C23" s="1">
        <f t="shared" ref="C23:C27" si="1">(A23*9.81*0.02)</f>
        <v>9.8100000000000007E-2</v>
      </c>
    </row>
    <row r="24" spans="1:3" x14ac:dyDescent="0.35">
      <c r="A24">
        <v>1</v>
      </c>
      <c r="B24">
        <v>8.5000000000000006E-2</v>
      </c>
      <c r="C24" s="1">
        <f t="shared" si="1"/>
        <v>0.19620000000000001</v>
      </c>
    </row>
    <row r="25" spans="1:3" x14ac:dyDescent="0.35">
      <c r="A25">
        <v>2</v>
      </c>
      <c r="B25">
        <v>0.13800000000000001</v>
      </c>
      <c r="C25" s="1">
        <f t="shared" si="1"/>
        <v>0.39240000000000003</v>
      </c>
    </row>
    <row r="26" spans="1:3" x14ac:dyDescent="0.35">
      <c r="A26">
        <v>3</v>
      </c>
      <c r="B26">
        <v>0.19500000000000001</v>
      </c>
      <c r="C26" s="1">
        <f t="shared" si="1"/>
        <v>0.58860000000000001</v>
      </c>
    </row>
    <row r="27" spans="1:3" x14ac:dyDescent="0.35">
      <c r="A27">
        <v>3.5</v>
      </c>
      <c r="B27">
        <v>0.23</v>
      </c>
      <c r="C27" s="1">
        <f t="shared" si="1"/>
        <v>0.68669999999999998</v>
      </c>
    </row>
    <row r="30" spans="1:3" x14ac:dyDescent="0.35">
      <c r="A30" t="s">
        <v>10</v>
      </c>
    </row>
    <row r="31" spans="1:3" x14ac:dyDescent="0.35">
      <c r="A31" t="s">
        <v>11</v>
      </c>
    </row>
    <row r="37" spans="1:1" x14ac:dyDescent="0.35">
      <c r="A37" t="s">
        <v>12</v>
      </c>
    </row>
    <row r="38" spans="1:1" x14ac:dyDescent="0.35">
      <c r="A38" t="s">
        <v>13</v>
      </c>
    </row>
  </sheetData>
  <mergeCells count="2">
    <mergeCell ref="A1:C1"/>
    <mergeCell ref="A20:C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Robbe Lambrecht</dc:creator>
  <cp:keywords/>
  <dc:description/>
  <cp:lastModifiedBy>Rémy Flament</cp:lastModifiedBy>
  <cp:revision/>
  <dcterms:created xsi:type="dcterms:W3CDTF">2025-10-29T10:36:03Z</dcterms:created>
  <dcterms:modified xsi:type="dcterms:W3CDTF">2025-12-03T10:39:51Z</dcterms:modified>
  <cp:category/>
  <cp:contentStatus/>
</cp:coreProperties>
</file>